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jenni\Documents\DataAnalytics\week-01\"/>
    </mc:Choice>
  </mc:AlternateContent>
  <xr:revisionPtr revIDLastSave="0" documentId="8_{070B4F6F-2315-4052-A898-D404AA4BE158}" xr6:coauthVersionLast="47" xr6:coauthVersionMax="47" xr10:uidLastSave="{00000000-0000-0000-0000-000000000000}"/>
  <bookViews>
    <workbookView xWindow="2678" yWindow="3600" windowWidth="17385" windowHeight="9285" firstSheet="2" activeTab="2" xr2:uid="{00000000-000D-0000-FFFF-FFFF00000000}"/>
  </bookViews>
  <sheets>
    <sheet name="Interset in Reward" sheetId="2" r:id="rId1"/>
    <sheet name="Customer Satisfaction rating" sheetId="4" r:id="rId2"/>
    <sheet name="Most Popular Food" sheetId="5" r:id="rId3"/>
    <sheet name="Sheet1" sheetId="1" r:id="rId4"/>
  </sheets>
  <calcPr calcId="191028"/>
  <pivotCaches>
    <pivotCache cacheId="1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I8" i="1"/>
  <c r="L8" i="1"/>
  <c r="D8" i="1"/>
  <c r="D2" i="1"/>
  <c r="D3" i="1"/>
  <c r="D4" i="1"/>
  <c r="D5" i="1"/>
  <c r="D6" i="1"/>
  <c r="D7" i="1"/>
</calcChain>
</file>

<file path=xl/sharedStrings.xml><?xml version="1.0" encoding="utf-8"?>
<sst xmlns="http://schemas.openxmlformats.org/spreadsheetml/2006/main" count="71" uniqueCount="51">
  <si>
    <t>Id</t>
  </si>
  <si>
    <t>Start time</t>
  </si>
  <si>
    <t>Completion time</t>
  </si>
  <si>
    <t>Email</t>
  </si>
  <si>
    <t>Name</t>
  </si>
  <si>
    <t>How often do you visit Paris Baguette </t>
  </si>
  <si>
    <t>What is your usual order at Paris Baguette </t>
  </si>
  <si>
    <t>How satisfied are you usually with your Service? </t>
  </si>
  <si>
    <t>What rewards would you like to see in a rewards program </t>
  </si>
  <si>
    <t>What is something that Paris Baguette could work on to improve your experience? </t>
  </si>
  <si>
    <t>Would you be interested in joining a rewards program</t>
  </si>
  <si>
    <t>ilee@my.yearupunited.org</t>
  </si>
  <si>
    <t>idasha lee</t>
  </si>
  <si>
    <t>Weekly</t>
  </si>
  <si>
    <t>Coffee or Tea ;Pastry / Bakery ;</t>
  </si>
  <si>
    <t>Free Pastries ;Birthday Rewards ;Purchase Point system ;</t>
  </si>
  <si>
    <t>Id love if the wait time wasn't so long but other than that the quality of the items are great.</t>
  </si>
  <si>
    <t>Yes, definitely</t>
  </si>
  <si>
    <t>amrapshtija@my.yearupunited.org</t>
  </si>
  <si>
    <t>ardita mrapshtija</t>
  </si>
  <si>
    <t>A few times a Month</t>
  </si>
  <si>
    <t>Sandwiches ;</t>
  </si>
  <si>
    <t>Free Pastries ;</t>
  </si>
  <si>
    <t>Mobile app</t>
  </si>
  <si>
    <t>Maybe, depending on the rewards</t>
  </si>
  <si>
    <t>dsacko@my.yearupunited.org</t>
  </si>
  <si>
    <t>djeneba sacko</t>
  </si>
  <si>
    <t>Offering deals like “Buy one, get one free” promotions.</t>
  </si>
  <si>
    <t>jcarter1@my.yearupunited.org</t>
  </si>
  <si>
    <t>jada carter</t>
  </si>
  <si>
    <t>Daily</t>
  </si>
  <si>
    <t>Coffee or Tea ;Pastry / Bakery ;Sandwiches ;</t>
  </si>
  <si>
    <t>Purchase Point system ;Free Drinks;Free Pastries ;</t>
  </si>
  <si>
    <t>Wait times especially if I placed my order ahead of time/ scheduled 30 minute-1hour ahead of time</t>
  </si>
  <si>
    <t>cspringer@my.yearupunited.org</t>
  </si>
  <si>
    <t>christopher springer</t>
  </si>
  <si>
    <t>Refreshments ;Sandwiches ;</t>
  </si>
  <si>
    <t>Free Drinks;Purchase Point system ;Birthday Rewards ;Free Pastries ;</t>
  </si>
  <si>
    <t>Create more in restaurant seating!</t>
  </si>
  <si>
    <t>dmendez1@my.yearupunited.org</t>
  </si>
  <si>
    <t>denae mendez</t>
  </si>
  <si>
    <t>Pastry / Bakery ;</t>
  </si>
  <si>
    <t>Free Drinks;Free Pastries ;Birthday Rewards ;Purchase Point system ;</t>
  </si>
  <si>
    <t>More dessert options</t>
  </si>
  <si>
    <t>No</t>
  </si>
  <si>
    <t>Time to Complete</t>
  </si>
  <si>
    <t>Row Labels</t>
  </si>
  <si>
    <t>Grand Total</t>
  </si>
  <si>
    <t>Count of Would you be interested in joining a rewards program</t>
  </si>
  <si>
    <t>Count of How satisfied are you usually with your Service? </t>
  </si>
  <si>
    <t>Count of What is your usual order at Paris Baguette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</si>
</sst>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\ hh:mm:ss"/>
    <numFmt numFmtId="173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165" fontId="0" fillId="0" borderId="0" xfId="0" applyNumberFormat="1"/>
    <xf numFmtId="45" fontId="0" fillId="0" borderId="0" xfId="0" applyNumberFormat="1"/>
    <xf numFmtId="49" fontId="0" fillId="0" borderId="0" xfId="0" applyNumberFormat="1"/>
    <xf numFmtId="2" fontId="0" fillId="0" borderId="0" xfId="0" applyNumberFormat="1"/>
    <xf numFmtId="17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2">
    <dxf>
      <numFmt numFmtId="0" formatCode="General"/>
    </dxf>
    <dxf>
      <numFmt numFmtId="2" formatCode="0.00"/>
    </dxf>
    <dxf>
      <numFmt numFmtId="173" formatCode="0.0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5" formatCode="mm/dd/yyyy\ hh:mm:ss"/>
    </dxf>
    <dxf>
      <numFmt numFmtId="165" formatCode="mm/dd/yyyy\ hh:mm:ss"/>
    </dxf>
    <dxf>
      <numFmt numFmtId="0" formatCode="General"/>
    </dxf>
    <dxf>
      <numFmt numFmtId="165" formatCode="mm/dd/yyyy\ hh:mm:ss"/>
    </dxf>
    <dxf>
      <numFmt numFmtId="165" formatCode="mm/dd/yyyy\ hh:mm:ss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nnifer Saeteros" refreshedDate="46311.984963425923" createdVersion="8" refreshedVersion="8" minRefreshableVersion="3" recordCount="6" xr:uid="{B2E4CFC6-C8C6-44B4-B315-7880B908B095}">
  <cacheSource type="worksheet">
    <worksheetSource name="OfficeForms.Table"/>
  </cacheSource>
  <cacheFields count="12">
    <cacheField name="Id" numFmtId="0">
      <sharedItems containsSemiMixedTypes="0" containsString="0" containsNumber="1" containsInteger="1" minValue="1" maxValue="6"/>
    </cacheField>
    <cacheField name="Start time" numFmtId="165">
      <sharedItems containsSemiMixedTypes="0" containsNonDate="0" containsDate="1" containsString="0" minDate="2026-10-15T13:27:49" maxDate="2026-10-16T16:44:45"/>
    </cacheField>
    <cacheField name="Completion time" numFmtId="165">
      <sharedItems containsSemiMixedTypes="0" containsNonDate="0" containsDate="1" containsString="0" minDate="2026-10-15T13:28:45" maxDate="2026-10-16T16:48:09"/>
    </cacheField>
    <cacheField name="Time to Complete" numFmtId="165">
      <sharedItems containsSemiMixedTypes="0" containsNonDate="0" containsDate="1" containsString="0" minDate="1899-12-30T00:00:56" maxDate="1899-12-30T00:03:24"/>
    </cacheField>
    <cacheField name="Email" numFmtId="0">
      <sharedItems count="6">
        <s v="ilee@my.yearupunited.org"/>
        <s v="amrapshtija@my.yearupunited.org"/>
        <s v="dsacko@my.yearupunited.org"/>
        <s v="jcarter1@my.yearupunited.org"/>
        <s v="cspringer@my.yearupunited.org"/>
        <s v="dmendez1@my.yearupunited.org"/>
      </sharedItems>
    </cacheField>
    <cacheField name="Name" numFmtId="0">
      <sharedItems count="6">
        <s v="idasha lee"/>
        <s v="ardita mrapshtija"/>
        <s v="djeneba sacko"/>
        <s v="jada carter"/>
        <s v="christopher springer"/>
        <s v="denae mendez"/>
      </sharedItems>
    </cacheField>
    <cacheField name="How often do you visit Paris Baguette " numFmtId="0">
      <sharedItems count="3">
        <s v="Weekly"/>
        <s v="A few times a Month"/>
        <s v="Daily"/>
      </sharedItems>
    </cacheField>
    <cacheField name="What is your usual order at Paris Baguette " numFmtId="0">
      <sharedItems count="5">
        <s v="Coffee or Tea ;Pastry / Bakery ;"/>
        <s v="Sandwiches ;"/>
        <s v="Coffee or Tea ;Pastry / Bakery ;Sandwiches ;"/>
        <s v="Refreshments ;Sandwiches ;"/>
        <s v="Pastry / Bakery ;"/>
      </sharedItems>
    </cacheField>
    <cacheField name="How satisfied are you usually with your Service? " numFmtId="0">
      <sharedItems containsSemiMixedTypes="0" containsString="0" containsNumber="1" containsInteger="1" minValue="3" maxValue="5" count="3">
        <n v="4"/>
        <n v="5"/>
        <n v="3"/>
      </sharedItems>
    </cacheField>
    <cacheField name="What rewards would you like to see in a rewards program " numFmtId="0">
      <sharedItems count="5">
        <s v="Free Pastries ;Birthday Rewards ;Purchase Point system ;"/>
        <s v="Free Pastries ;"/>
        <s v="Purchase Point system ;Free Drinks;Free Pastries ;"/>
        <s v="Free Drinks;Purchase Point system ;Birthday Rewards ;Free Pastries ;"/>
        <s v="Free Drinks;Free Pastries ;Birthday Rewards ;Purchase Point system ;"/>
      </sharedItems>
    </cacheField>
    <cacheField name="What is something that Paris Baguette could work on to improve your experience? " numFmtId="0">
      <sharedItems/>
    </cacheField>
    <cacheField name="Would you be interested in joining a rewards program" numFmtId="0">
      <sharedItems count="3">
        <s v="Yes, definitely"/>
        <s v="Maybe, depending on the reward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1"/>
    <d v="2026-10-15T13:27:49"/>
    <d v="2026-10-15T13:28:45"/>
    <d v="1899-12-30T00:00:56"/>
    <x v="0"/>
    <x v="0"/>
    <x v="0"/>
    <x v="0"/>
    <x v="0"/>
    <x v="0"/>
    <s v="Id love if the wait time wasn't so long but other than that the quality of the items are great."/>
    <x v="0"/>
  </r>
  <r>
    <n v="2"/>
    <d v="2026-10-15T14:36:27"/>
    <d v="2026-10-15T14:39:32"/>
    <d v="1899-12-30T00:03:05"/>
    <x v="1"/>
    <x v="1"/>
    <x v="1"/>
    <x v="1"/>
    <x v="1"/>
    <x v="1"/>
    <s v="Mobile app"/>
    <x v="1"/>
  </r>
  <r>
    <n v="3"/>
    <d v="2026-10-15T20:43:11"/>
    <d v="2026-10-15T20:45:43"/>
    <d v="1899-12-30T00:02:32"/>
    <x v="2"/>
    <x v="2"/>
    <x v="1"/>
    <x v="0"/>
    <x v="2"/>
    <x v="1"/>
    <s v="Offering deals like “Buy one, get one free” promotions."/>
    <x v="0"/>
  </r>
  <r>
    <n v="4"/>
    <d v="2026-10-16T00:16:21"/>
    <d v="2026-10-16T00:18:39"/>
    <d v="1899-12-30T00:02:18"/>
    <x v="3"/>
    <x v="3"/>
    <x v="2"/>
    <x v="2"/>
    <x v="1"/>
    <x v="2"/>
    <s v="Wait times especially if I placed my order ahead of time/ scheduled 30 minute-1hour ahead of time"/>
    <x v="1"/>
  </r>
  <r>
    <n v="5"/>
    <d v="2026-10-16T13:34:57"/>
    <d v="2026-10-16T13:37:00"/>
    <d v="1899-12-30T00:02:03"/>
    <x v="4"/>
    <x v="4"/>
    <x v="1"/>
    <x v="3"/>
    <x v="1"/>
    <x v="3"/>
    <s v="Create more in restaurant seating!"/>
    <x v="0"/>
  </r>
  <r>
    <n v="6"/>
    <d v="2026-10-16T16:44:45"/>
    <d v="2026-10-16T16:48:09"/>
    <d v="1899-12-30T00:03:24"/>
    <x v="5"/>
    <x v="5"/>
    <x v="1"/>
    <x v="4"/>
    <x v="0"/>
    <x v="4"/>
    <s v="More dessert options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E90FAF-3DD4-465E-953C-D9D67B887D58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2">
    <pivotField showAll="0"/>
    <pivotField numFmtId="165" showAll="0"/>
    <pivotField numFmtId="165" showAll="0"/>
    <pivotField numFmtId="165" showAll="0"/>
    <pivotField showAll="0">
      <items count="7">
        <item x="1"/>
        <item x="4"/>
        <item x="5"/>
        <item x="2"/>
        <item x="0"/>
        <item x="3"/>
        <item t="default"/>
      </items>
    </pivotField>
    <pivotField showAll="0">
      <items count="7">
        <item x="1"/>
        <item x="4"/>
        <item x="5"/>
        <item x="2"/>
        <item x="0"/>
        <item x="3"/>
        <item t="default"/>
      </items>
    </pivotField>
    <pivotField showAll="0"/>
    <pivotField showAll="0"/>
    <pivotField showAll="0"/>
    <pivotField showAll="0">
      <items count="6">
        <item x="4"/>
        <item x="3"/>
        <item x="1"/>
        <item x="0"/>
        <item x="2"/>
        <item t="default"/>
      </items>
    </pivotField>
    <pivotField showAll="0"/>
    <pivotField axis="axisRow" dataField="1" showAll="0">
      <items count="4">
        <item x="1"/>
        <item x="2"/>
        <item x="0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Would you be interested in joining a rewards program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DD9BB6-DB50-4C0D-B266-16CECBB0F3E3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2">
    <pivotField showAll="0"/>
    <pivotField numFmtId="165" showAll="0"/>
    <pivotField numFmtId="165" showAll="0"/>
    <pivotField numFmtId="165" showAll="0"/>
    <pivotField showAll="0"/>
    <pivotField showAll="0">
      <items count="7">
        <item x="1"/>
        <item x="4"/>
        <item x="5"/>
        <item x="2"/>
        <item x="0"/>
        <item x="3"/>
        <item t="default"/>
      </items>
    </pivotField>
    <pivotField showAll="0">
      <items count="4">
        <item h="1" x="1"/>
        <item x="2"/>
        <item h="1" x="0"/>
        <item t="default"/>
      </items>
    </pivotField>
    <pivotField showAll="0"/>
    <pivotField axis="axisRow" dataField="1" showAll="0">
      <items count="4">
        <item x="2"/>
        <item x="0"/>
        <item x="1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How satisfied are you usually with your Service? " fld="8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5134B6-189A-4254-821F-E3E0762B4E01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2">
    <pivotField showAll="0"/>
    <pivotField numFmtId="165" showAll="0"/>
    <pivotField numFmtId="165" showAll="0"/>
    <pivotField numFmtId="165" showAll="0"/>
    <pivotField showAll="0"/>
    <pivotField showAll="0"/>
    <pivotField showAll="0"/>
    <pivotField axis="axisRow" dataField="1" showAll="0">
      <items count="6">
        <item x="0"/>
        <item x="2"/>
        <item x="4"/>
        <item x="3"/>
        <item x="1"/>
        <item t="default"/>
      </items>
    </pivotField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What is your usual order at Paris Baguette 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L8" totalsRowCount="1">
  <autoFilter ref="A1:L7" xr:uid="{00000000-0009-0000-0100-000001000000}"/>
  <tableColumns count="12">
    <tableColumn id="1" xr3:uid="{00000000-0010-0000-0000-000001000000}" name="Id" dataDxfId="13" totalsRowDxfId="1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12" totalsRowDxfId="9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12" xr3:uid="{78586E1D-2076-48F2-A1BB-74F778603819}" name="Time to Complete" totalsRowFunction="custom" dataDxfId="11" totalsRowDxfId="8">
      <calculatedColumnFormula>C2-B2</calculatedColumnFormula>
      <totalsRowFormula>AVERAGE(D2:D7)</totalsRowFormula>
    </tableColumn>
    <tableColumn id="4" xr3:uid="{00000000-0010-0000-0000-000004000000}" name="Email" dataDxfId="21" totalsRowDxfId="7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20" totalsRowDxfId="6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often do you visit Paris Baguette " dataDxfId="19" totalsRowDxfId="1">
      <extLst>
        <ext xmlns:xlmsforms="http://schemas.microsoft.com/office/spreadsheetml/2023/msForms" uri="{FCC71383-01E1-4257-9335-427F07BE8D7F}">
          <xlmsforms:question id="r4dbb5d290258416d98ca274856c7f8d4"/>
        </ext>
      </extLst>
    </tableColumn>
    <tableColumn id="7" xr3:uid="{00000000-0010-0000-0000-000007000000}" name="What is your usual order at Paris Baguette " totalsRowFunction="custom" dataDxfId="18" totalsRowDxfId="0">
      <totalsRowFormula>COUNTIF(H2:H7,"*Coffee or Tea*")</totalsRowFormula>
      <extLst>
        <ext xmlns:xlmsforms="http://schemas.microsoft.com/office/spreadsheetml/2023/msForms" uri="{FCC71383-01E1-4257-9335-427F07BE8D7F}">
          <xlmsforms:question id="r75a0f1c333334471aabacfe9dee98ba9"/>
        </ext>
      </extLst>
    </tableColumn>
    <tableColumn id="8" xr3:uid="{00000000-0010-0000-0000-000008000000}" name="How satisfied are you usually with your Service? " totalsRowFunction="custom" dataDxfId="17" totalsRowDxfId="2">
      <totalsRowFormula>AVERAGE(I2:I7)</totalsRowFormula>
      <extLst>
        <ext xmlns:xlmsforms="http://schemas.microsoft.com/office/spreadsheetml/2023/msForms" uri="{FCC71383-01E1-4257-9335-427F07BE8D7F}">
          <xlmsforms:question id="r8a8ff06b3c0a49f98987d510bbcbe03d"/>
        </ext>
      </extLst>
    </tableColumn>
    <tableColumn id="9" xr3:uid="{00000000-0010-0000-0000-000009000000}" name="What rewards would you like to see in a rewards program " dataDxfId="16" totalsRowDxfId="5">
      <extLst>
        <ext xmlns:xlmsforms="http://schemas.microsoft.com/office/spreadsheetml/2023/msForms" uri="{FCC71383-01E1-4257-9335-427F07BE8D7F}">
          <xlmsforms:question id="rd67e3510abb54a0694bdfd07d0644a00"/>
        </ext>
      </extLst>
    </tableColumn>
    <tableColumn id="10" xr3:uid="{00000000-0010-0000-0000-00000A000000}" name="What is something that Paris Baguette could work on to improve your experience? " dataDxfId="15" totalsRowDxfId="4">
      <extLst>
        <ext xmlns:xlmsforms="http://schemas.microsoft.com/office/spreadsheetml/2023/msForms" uri="{FCC71383-01E1-4257-9335-427F07BE8D7F}">
          <xlmsforms:question id="r7fc9c4d8418b41cb8f3fc2a07fdf7648"/>
        </ext>
      </extLst>
    </tableColumn>
    <tableColumn id="11" xr3:uid="{00000000-0010-0000-0000-00000B000000}" name="Would you be interested in joining a rewards program" totalsRowFunction="custom" dataDxfId="14" totalsRowDxfId="3">
      <totalsRowFormula>COUNTIF(L2:L7,"Yes, definitely")</totalsRowFormula>
      <extLst>
        <ext xmlns:xlmsforms="http://schemas.microsoft.com/office/spreadsheetml/2023/msForms" uri="{FCC71383-01E1-4257-9335-427F07BE8D7F}">
          <xlmsforms:question id="r033607f828624c59bb433006b8a014ee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_M0Z0GsSVFFjNldyus3dPRUOEJDWVozRURPTURaSDZWUFRRS0I5SzRQWC4u" isFormConnected="1" maxResponseId="6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r4dbb5d290258416d98ca274856c7f8d4</xlmsforms:syncedQuestionId>
        <xlmsforms:syncedQuestionId>r75a0f1c333334471aabacfe9dee98ba9</xlmsforms:syncedQuestionId>
        <xlmsforms:syncedQuestionId>r8a8ff06b3c0a49f98987d510bbcbe03d</xlmsforms:syncedQuestionId>
        <xlmsforms:syncedQuestionId>rd67e3510abb54a0694bdfd07d0644a00</xlmsforms:syncedQuestionId>
        <xlmsforms:syncedQuestionId>r7fc9c4d8418b41cb8f3fc2a07fdf7648</xlmsforms:syncedQuestionId>
        <xlmsforms:syncedQuestionId>r033607f828624c59bb433006b8a014ee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10406-BB22-4D6C-92EF-BB21EEEBED9A}">
  <dimension ref="A3:B7"/>
  <sheetViews>
    <sheetView topLeftCell="A5" workbookViewId="0">
      <selection activeCell="A3" sqref="A3"/>
    </sheetView>
  </sheetViews>
  <sheetFormatPr defaultRowHeight="14.25" x14ac:dyDescent="0.45"/>
  <cols>
    <col min="1" max="1" width="27.9296875" bestFit="1" customWidth="1"/>
    <col min="2" max="2" width="53.06640625" bestFit="1" customWidth="1"/>
    <col min="3" max="3" width="3.06640625" bestFit="1" customWidth="1"/>
    <col min="4" max="4" width="12.19921875" bestFit="1" customWidth="1"/>
    <col min="5" max="5" width="10.19921875" bestFit="1" customWidth="1"/>
    <col min="6" max="6" width="29.6640625" bestFit="1" customWidth="1"/>
    <col min="7" max="8" width="10.19921875" bestFit="1" customWidth="1"/>
  </cols>
  <sheetData>
    <row r="3" spans="1:2" x14ac:dyDescent="0.45">
      <c r="A3" s="7" t="s">
        <v>46</v>
      </c>
      <c r="B3" t="s">
        <v>48</v>
      </c>
    </row>
    <row r="4" spans="1:2" x14ac:dyDescent="0.45">
      <c r="A4" s="8" t="s">
        <v>24</v>
      </c>
      <c r="B4" s="1">
        <v>2</v>
      </c>
    </row>
    <row r="5" spans="1:2" x14ac:dyDescent="0.45">
      <c r="A5" s="8" t="s">
        <v>44</v>
      </c>
      <c r="B5" s="1">
        <v>1</v>
      </c>
    </row>
    <row r="6" spans="1:2" x14ac:dyDescent="0.45">
      <c r="A6" s="8" t="s">
        <v>17</v>
      </c>
      <c r="B6" s="1">
        <v>3</v>
      </c>
    </row>
    <row r="7" spans="1:2" x14ac:dyDescent="0.45">
      <c r="A7" s="8" t="s">
        <v>47</v>
      </c>
      <c r="B7" s="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4F243-99CC-4AE7-A3D1-CAA91262A657}">
  <dimension ref="A3:B7"/>
  <sheetViews>
    <sheetView workbookViewId="0">
      <selection activeCell="B3" sqref="B3"/>
      <pivotSelection pane="bottomRight" showHeader="1" extendable="1" activeRow="2" activeCol="1" click="1" r:id="rId1">
        <pivotArea dataOnly="0" outline="0" axis="axisValues" fieldPosition="0"/>
      </pivotSelection>
    </sheetView>
  </sheetViews>
  <sheetFormatPr defaultRowHeight="14.25" x14ac:dyDescent="0.45"/>
  <cols>
    <col min="1" max="1" width="12.06640625" bestFit="1" customWidth="1"/>
    <col min="2" max="2" width="48.53125" bestFit="1" customWidth="1"/>
    <col min="3" max="3" width="13.06640625" bestFit="1" customWidth="1"/>
  </cols>
  <sheetData>
    <row r="3" spans="1:2" x14ac:dyDescent="0.45">
      <c r="A3" s="7" t="s">
        <v>46</v>
      </c>
      <c r="B3" t="s">
        <v>49</v>
      </c>
    </row>
    <row r="4" spans="1:2" x14ac:dyDescent="0.45">
      <c r="A4" s="8">
        <v>3</v>
      </c>
      <c r="B4" s="1">
        <v>1</v>
      </c>
    </row>
    <row r="5" spans="1:2" x14ac:dyDescent="0.45">
      <c r="A5" s="8">
        <v>4</v>
      </c>
      <c r="B5" s="1">
        <v>2</v>
      </c>
    </row>
    <row r="6" spans="1:2" x14ac:dyDescent="0.45">
      <c r="A6" s="8">
        <v>5</v>
      </c>
      <c r="B6" s="1">
        <v>3</v>
      </c>
    </row>
    <row r="7" spans="1:2" x14ac:dyDescent="0.45">
      <c r="A7" s="8" t="s">
        <v>47</v>
      </c>
      <c r="B7" s="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7639D-377F-47F3-AF89-6851D83FD269}">
  <dimension ref="A3:B9"/>
  <sheetViews>
    <sheetView tabSelected="1" workbookViewId="0">
      <selection activeCell="C13" sqref="C13"/>
    </sheetView>
  </sheetViews>
  <sheetFormatPr defaultRowHeight="14.25" x14ac:dyDescent="0.45"/>
  <cols>
    <col min="1" max="1" width="35.59765625" bestFit="1" customWidth="1"/>
    <col min="2" max="2" width="43.46484375" bestFit="1" customWidth="1"/>
  </cols>
  <sheetData>
    <row r="3" spans="1:2" x14ac:dyDescent="0.45">
      <c r="A3" s="7" t="s">
        <v>46</v>
      </c>
      <c r="B3" t="s">
        <v>50</v>
      </c>
    </row>
    <row r="4" spans="1:2" x14ac:dyDescent="0.45">
      <c r="A4" s="8" t="s">
        <v>14</v>
      </c>
      <c r="B4" s="1">
        <v>2</v>
      </c>
    </row>
    <row r="5" spans="1:2" x14ac:dyDescent="0.45">
      <c r="A5" s="8" t="s">
        <v>31</v>
      </c>
      <c r="B5" s="1">
        <v>1</v>
      </c>
    </row>
    <row r="6" spans="1:2" x14ac:dyDescent="0.45">
      <c r="A6" s="8" t="s">
        <v>41</v>
      </c>
      <c r="B6" s="1">
        <v>1</v>
      </c>
    </row>
    <row r="7" spans="1:2" x14ac:dyDescent="0.45">
      <c r="A7" s="8" t="s">
        <v>36</v>
      </c>
      <c r="B7" s="1">
        <v>1</v>
      </c>
    </row>
    <row r="8" spans="1:2" x14ac:dyDescent="0.45">
      <c r="A8" s="8" t="s">
        <v>21</v>
      </c>
      <c r="B8" s="1">
        <v>1</v>
      </c>
    </row>
    <row r="9" spans="1:2" x14ac:dyDescent="0.45">
      <c r="A9" s="8" t="s">
        <v>47</v>
      </c>
      <c r="B9" s="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workbookViewId="0">
      <selection activeCell="B5" sqref="B5"/>
    </sheetView>
  </sheetViews>
  <sheetFormatPr defaultRowHeight="14.25" x14ac:dyDescent="0.45"/>
  <cols>
    <col min="1" max="1" width="20" bestFit="1" customWidth="1"/>
    <col min="2" max="2" width="20" style="2" bestFit="1" customWidth="1"/>
    <col min="3" max="3" width="20" bestFit="1" customWidth="1"/>
    <col min="4" max="4" width="20" customWidth="1"/>
    <col min="5" max="12" width="20" bestFit="1" customWidth="1"/>
  </cols>
  <sheetData>
    <row r="1" spans="1:12" x14ac:dyDescent="0.45">
      <c r="A1" t="s">
        <v>0</v>
      </c>
      <c r="B1" s="2" t="s">
        <v>1</v>
      </c>
      <c r="C1" t="s">
        <v>2</v>
      </c>
      <c r="D1" s="3" t="s">
        <v>45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45">
      <c r="A2">
        <v>1</v>
      </c>
      <c r="B2" s="2">
        <v>46310.560983796298</v>
      </c>
      <c r="C2" s="2">
        <v>46310.561631944445</v>
      </c>
      <c r="D2" s="2">
        <f t="shared" ref="D2:D7" si="0">C2-B2</f>
        <v>6.4814814686542377E-4</v>
      </c>
      <c r="E2" t="s">
        <v>11</v>
      </c>
      <c r="F2" t="s">
        <v>12</v>
      </c>
      <c r="G2" t="s">
        <v>13</v>
      </c>
      <c r="H2" t="s">
        <v>14</v>
      </c>
      <c r="I2">
        <v>4</v>
      </c>
      <c r="J2" t="s">
        <v>15</v>
      </c>
      <c r="K2" t="s">
        <v>16</v>
      </c>
      <c r="L2" t="s">
        <v>17</v>
      </c>
    </row>
    <row r="3" spans="1:12" x14ac:dyDescent="0.45">
      <c r="A3">
        <v>2</v>
      </c>
      <c r="B3" s="2">
        <v>46310.60864583333</v>
      </c>
      <c r="C3" s="2">
        <v>46310.61078703704</v>
      </c>
      <c r="D3" s="2">
        <f t="shared" si="0"/>
        <v>2.1412037094705738E-3</v>
      </c>
      <c r="E3" t="s">
        <v>18</v>
      </c>
      <c r="F3" t="s">
        <v>19</v>
      </c>
      <c r="G3" t="s">
        <v>20</v>
      </c>
      <c r="H3" t="s">
        <v>21</v>
      </c>
      <c r="I3">
        <v>5</v>
      </c>
      <c r="J3" t="s">
        <v>22</v>
      </c>
      <c r="K3" t="s">
        <v>23</v>
      </c>
      <c r="L3" t="s">
        <v>24</v>
      </c>
    </row>
    <row r="4" spans="1:12" x14ac:dyDescent="0.45">
      <c r="A4">
        <v>3</v>
      </c>
      <c r="B4" s="2">
        <v>46310.863321759258</v>
      </c>
      <c r="C4" s="2">
        <v>46310.865081018521</v>
      </c>
      <c r="D4" s="2">
        <f t="shared" si="0"/>
        <v>1.7592592630535364E-3</v>
      </c>
      <c r="E4" t="s">
        <v>25</v>
      </c>
      <c r="F4" t="s">
        <v>26</v>
      </c>
      <c r="G4" t="s">
        <v>20</v>
      </c>
      <c r="H4" t="s">
        <v>14</v>
      </c>
      <c r="I4">
        <v>3</v>
      </c>
      <c r="J4" t="s">
        <v>22</v>
      </c>
      <c r="K4" t="s">
        <v>27</v>
      </c>
      <c r="L4" t="s">
        <v>17</v>
      </c>
    </row>
    <row r="5" spans="1:12" x14ac:dyDescent="0.45">
      <c r="A5">
        <v>4</v>
      </c>
      <c r="B5" s="2">
        <v>46311.011354166665</v>
      </c>
      <c r="C5" s="2">
        <v>46311.01295138889</v>
      </c>
      <c r="D5" s="2">
        <f t="shared" si="0"/>
        <v>1.5972222245181911E-3</v>
      </c>
      <c r="E5" t="s">
        <v>28</v>
      </c>
      <c r="F5" t="s">
        <v>29</v>
      </c>
      <c r="G5" t="s">
        <v>30</v>
      </c>
      <c r="H5" t="s">
        <v>31</v>
      </c>
      <c r="I5">
        <v>5</v>
      </c>
      <c r="J5" t="s">
        <v>32</v>
      </c>
      <c r="K5" t="s">
        <v>33</v>
      </c>
      <c r="L5" t="s">
        <v>24</v>
      </c>
    </row>
    <row r="6" spans="1:12" x14ac:dyDescent="0.45">
      <c r="A6">
        <v>5</v>
      </c>
      <c r="B6" s="2">
        <v>46311.565937500003</v>
      </c>
      <c r="C6" s="2">
        <v>46311.567361111112</v>
      </c>
      <c r="D6" s="2">
        <f t="shared" si="0"/>
        <v>1.4236111092031933E-3</v>
      </c>
      <c r="E6" t="s">
        <v>34</v>
      </c>
      <c r="F6" t="s">
        <v>35</v>
      </c>
      <c r="G6" t="s">
        <v>20</v>
      </c>
      <c r="H6" t="s">
        <v>36</v>
      </c>
      <c r="I6">
        <v>5</v>
      </c>
      <c r="J6" t="s">
        <v>37</v>
      </c>
      <c r="K6" t="s">
        <v>38</v>
      </c>
      <c r="L6" t="s">
        <v>17</v>
      </c>
    </row>
    <row r="7" spans="1:12" x14ac:dyDescent="0.45">
      <c r="A7">
        <v>6</v>
      </c>
      <c r="B7" s="2">
        <v>46311.697743055556</v>
      </c>
      <c r="C7" s="2">
        <v>46311.700104166666</v>
      </c>
      <c r="D7" s="2">
        <f t="shared" si="0"/>
        <v>2.3611111100763083E-3</v>
      </c>
      <c r="E7" t="s">
        <v>39</v>
      </c>
      <c r="F7" t="s">
        <v>40</v>
      </c>
      <c r="G7" t="s">
        <v>20</v>
      </c>
      <c r="H7" t="s">
        <v>41</v>
      </c>
      <c r="I7">
        <v>4</v>
      </c>
      <c r="J7" t="s">
        <v>42</v>
      </c>
      <c r="K7" t="s">
        <v>43</v>
      </c>
      <c r="L7" t="s">
        <v>44</v>
      </c>
    </row>
    <row r="8" spans="1:12" x14ac:dyDescent="0.45">
      <c r="A8" s="1"/>
      <c r="D8" s="2">
        <f>AVERAGE(D2:D7)</f>
        <v>1.6550925938645378E-3</v>
      </c>
      <c r="E8" s="4"/>
      <c r="F8" s="4"/>
      <c r="G8" s="5"/>
      <c r="H8" s="1">
        <f>COUNTIF(H2:H7,"*Coffee or Tea*")</f>
        <v>3</v>
      </c>
      <c r="I8" s="6">
        <f>AVERAGE(I2:I7)</f>
        <v>4.333333333333333</v>
      </c>
      <c r="J8" s="4"/>
      <c r="K8" s="4"/>
      <c r="L8" s="1">
        <f>COUNTIF(L2:L7,"Yes, definitely")</f>
        <v>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Interset in Reward</vt:lpstr>
      <vt:lpstr>Customer Satisfaction rating</vt:lpstr>
      <vt:lpstr>Most Popular Food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Saeteros</dc:creator>
  <cp:keywords/>
  <dc:description/>
  <cp:lastModifiedBy>Jennifer Saeteros</cp:lastModifiedBy>
  <cp:revision/>
  <dcterms:created xsi:type="dcterms:W3CDTF">2026-10-16T22:16:32Z</dcterms:created>
  <dcterms:modified xsi:type="dcterms:W3CDTF">2026-10-17T03:50:16Z</dcterms:modified>
  <cp:category/>
  <cp:contentStatus/>
</cp:coreProperties>
</file>