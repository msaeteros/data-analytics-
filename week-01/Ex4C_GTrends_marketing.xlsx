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enni\Documents\DataAnalytics\week-01\"/>
    </mc:Choice>
  </mc:AlternateContent>
  <xr:revisionPtr revIDLastSave="0" documentId="13_ncr:1_{B3855693-A4E2-47C8-88F8-D0E68BCB934E}" xr6:coauthVersionLast="47" xr6:coauthVersionMax="47" xr10:uidLastSave="{00000000-0000-0000-0000-000000000000}"/>
  <bookViews>
    <workbookView xWindow="2872" yWindow="2685" windowWidth="17385" windowHeight="10440" firstSheet="1" activeTab="2" xr2:uid="{ED6A505B-5F37-48B1-80F6-86DDBC641CB0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 a="1"/>
  <c r="D4" i="3" a="1"/>
  <c r="D3" i="3"/>
  <c r="D6" i="3"/>
  <c r="D7" i="3"/>
  <c r="D8" i="3"/>
  <c r="D9" i="3"/>
  <c r="D10" i="3"/>
  <c r="D11" i="3"/>
  <c r="D2" i="3"/>
  <c r="C5" i="3"/>
  <c r="C4" i="3"/>
  <c r="C3" i="3"/>
  <c r="C6" i="3"/>
  <c r="C7" i="3"/>
  <c r="C8" i="3"/>
  <c r="C9" i="3"/>
  <c r="C10" i="3"/>
  <c r="C11" i="3"/>
  <c r="C2" i="3"/>
  <c r="H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<sst xmlns="http://schemas.openxmlformats.org/spreadsheetml/2006/main" count="155" uniqueCount="71">
  <si>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</si>
  <si>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</si>
  <si>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</si>
  <si>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</si>
  <si>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</si>
  <si>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</si>
  <si>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</si>
  <si>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</si>
  <si>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</si>
  <si>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</si>
  <si>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</si>
  <si>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</si>
  <si>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</si>
  <si>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</si>
  <si>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</si>
  <si>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</si>
  <si>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</si>
  <si>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</si>
  <si>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</si>
  <si>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</si>
  <si>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</si>
  <si>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</si>
  <si>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</si>
  <si>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</si>
  <si>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</si>
  <si>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</si>
  <si>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</si>
  <si>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</si>
  <si>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</si>
  <si>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</si>
  <si>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</si>
  <si>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</si>
  <si>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</si>
  <si>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</si>
  <si>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</si>
  <si>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</si>
  <si>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</si>
  <si>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</si>
  <si>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</si>
  <si>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</si>
  <si>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</si>
  <si>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</si>
  <si>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</si>
  <si>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</si>
  <si>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</si>
  <si>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</si>
  <si>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</si>
  <si>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</si>
  <si>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</si>
  <si>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</si>
  <si>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</si>
  <si>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</si>
  <si>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</si>
  <si>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</si>
  <si>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 xml:space="preserve">Data Range </t>
  </si>
  <si>
    <t>2/1/24 - 2/28/25</t>
  </si>
  <si>
    <t>Hamburger</t>
  </si>
  <si>
    <t>Milkshake</t>
  </si>
  <si>
    <t>Breakup</t>
  </si>
  <si>
    <t xml:space="preserve">Idaho </t>
  </si>
  <si>
    <t xml:space="preserve">Montana </t>
  </si>
  <si>
    <t xml:space="preserve">State </t>
  </si>
  <si>
    <t>Sales Region</t>
  </si>
  <si>
    <t>Northwest</t>
  </si>
  <si>
    <t xml:space="preserve">Norh Central </t>
  </si>
  <si>
    <t xml:space="preserve">Milkshake </t>
  </si>
  <si>
    <t>Row Labels</t>
  </si>
  <si>
    <t>Grand Total</t>
  </si>
  <si>
    <t>Sum of Hamburger</t>
  </si>
  <si>
    <t xml:space="preserve">Sum of Milkshake 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</si>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</sst>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18" fillId="0" borderId="0" xfId="0" applyFont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 </c:v>
                </c:pt>
                <c:pt idx="1">
                  <c:v>Michigan</c:v>
                </c:pt>
                <c:pt idx="2">
                  <c:v>Minnesota</c:v>
                </c:pt>
                <c:pt idx="3">
                  <c:v>Montana 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0.68</c:v>
                </c:pt>
                <c:pt idx="3">
                  <c:v>0.75</c:v>
                </c:pt>
                <c:pt idx="4">
                  <c:v>0.69</c:v>
                </c:pt>
                <c:pt idx="5">
                  <c:v>0.7</c:v>
                </c:pt>
                <c:pt idx="6">
                  <c:v>0.69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6-4CC2-9E4D-76DA7A12FAB2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 </c:v>
                </c:pt>
                <c:pt idx="1">
                  <c:v>Michigan</c:v>
                </c:pt>
                <c:pt idx="2">
                  <c:v>Minnesota</c:v>
                </c:pt>
                <c:pt idx="3">
                  <c:v>Montana 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6-4CC2-9E4D-76DA7A12F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0447984"/>
        <c:axId val="1880446064"/>
      </c:barChart>
      <c:catAx>
        <c:axId val="188044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46064"/>
        <c:crosses val="autoZero"/>
        <c:auto val="1"/>
        <c:lblAlgn val="ctr"/>
        <c:lblOffset val="100"/>
        <c:noMultiLvlLbl val="0"/>
      </c:catAx>
      <c:valAx>
        <c:axId val="188044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4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645317</xdr:colOff>
      <xdr:row>13</xdr:row>
      <xdr:rowOff>178593</xdr:rowOff>
    </xdr:from>
    <xdr:to>
      <xdr:col>11</xdr:col>
      <xdr:colOff>35717</xdr:colOff>
      <xdr:row>29</xdr:row>
      <xdr:rowOff>26193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9FD86E-A7E7-05A0-A13A-41C94DB71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 Saeteros" refreshedDate="46312.581012615738" createdVersion="8" refreshedVersion="8" minRefreshableVersion="3" recordCount="10" xr:uid="{B8923130-E1CA-43C7-9D23-A9F3F058152B}">
  <cacheSource type="worksheet">
    <worksheetSource ref="A1:D11" sheet="sales region lookup"/>
  </cacheSource>
  <cacheFields count="4">
    <cacheField name="State " numFmtId="0">
      <sharedItems count="10">
        <s v="Washington"/>
        <s v="Oregon"/>
        <s v="Idaho "/>
        <s v="Montana 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h Central "/>
      </sharedItems>
    </cacheField>
    <cacheField name="Hamburger" numFmtId="9">
      <sharedItems containsSemiMixedTypes="0" containsString="0" containsNumber="1" minValue="0.66" maxValue="0.75"/>
    </cacheField>
    <cacheField name="Milkshake 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7"/>
  </r>
  <r>
    <x v="2"/>
    <x v="0"/>
    <n v="0.67"/>
    <n v="0.2"/>
  </r>
  <r>
    <x v="3"/>
    <x v="0"/>
    <n v="0.75"/>
    <n v="0.14000000000000001"/>
  </r>
  <r>
    <x v="4"/>
    <x v="1"/>
    <n v="0.7"/>
    <n v="0.18"/>
  </r>
  <r>
    <x v="5"/>
    <x v="1"/>
    <n v="0.75"/>
    <n v="0.14000000000000001"/>
  </r>
  <r>
    <x v="6"/>
    <x v="1"/>
    <n v="0.69"/>
    <n v="0.18"/>
  </r>
  <r>
    <x v="7"/>
    <x v="1"/>
    <n v="0.68"/>
    <n v="0.19"/>
  </r>
  <r>
    <x v="8"/>
    <x v="1"/>
    <n v="0.66"/>
    <n v="0.2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B730F-97BE-4621-B44A-E7C205E3764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 " fld="3" baseField="0" baseItem="0" numFmtId="9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7AA3-244A-4CAB-B9DC-BD31D1D436C8}">
  <dimension ref="A1:K52"/>
  <sheetViews>
    <sheetView workbookViewId="0">
      <pane ySplit="1" topLeftCell="A12" activePane="bottomLeft" state="frozen"/>
      <selection activeCell="B1" sqref="B1"/>
      <selection pane="bottomLeft" activeCell="B28" sqref="B28"/>
    </sheetView>
  </sheetViews>
  <sheetFormatPr defaultRowHeight="14.25" x14ac:dyDescent="0.45"/>
  <cols>
    <col min="2" max="2" width="20" bestFit="1" customWidth="1"/>
    <col min="3" max="3" width="11.86328125" customWidth="1"/>
    <col min="4" max="4" width="11.265625" customWidth="1"/>
    <col min="5" max="5" width="9.3984375" customWidth="1"/>
    <col min="7" max="7" width="10.1328125" bestFit="1" customWidth="1"/>
    <col min="9" max="9" width="8.9296875" customWidth="1"/>
    <col min="10" max="10" width="9.86328125" bestFit="1" customWidth="1"/>
    <col min="11" max="11" width="13.46484375" bestFit="1" customWidth="1"/>
  </cols>
  <sheetData>
    <row r="1" spans="1:11" x14ac:dyDescent="0.4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4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4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45">
      <c r="A4">
        <v>3</v>
      </c>
      <c r="B4" t="s">
        <v>26</v>
      </c>
      <c r="C4" s="1">
        <v>0.67</v>
      </c>
      <c r="D4" s="1">
        <v>0.2</v>
      </c>
      <c r="E4" s="1">
        <v>0.13</v>
      </c>
    </row>
    <row r="5" spans="1:11" x14ac:dyDescent="0.45">
      <c r="A5">
        <v>4</v>
      </c>
      <c r="B5" t="s">
        <v>19</v>
      </c>
      <c r="C5" s="1">
        <v>0.67</v>
      </c>
      <c r="D5" s="1">
        <v>0.21</v>
      </c>
      <c r="E5" s="1">
        <v>0.12</v>
      </c>
    </row>
    <row r="6" spans="1:11" x14ac:dyDescent="0.4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4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45">
      <c r="A8">
        <v>7</v>
      </c>
      <c r="B8" t="s">
        <v>18</v>
      </c>
      <c r="C8" s="1">
        <v>0.64</v>
      </c>
      <c r="D8" s="1">
        <v>0.22</v>
      </c>
      <c r="E8" s="1">
        <v>0.14000000000000001</v>
      </c>
    </row>
    <row r="9" spans="1:11" x14ac:dyDescent="0.45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45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4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45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11" x14ac:dyDescent="0.4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4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45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11" x14ac:dyDescent="0.45">
      <c r="A16">
        <v>15</v>
      </c>
      <c r="B16" t="s">
        <v>16</v>
      </c>
      <c r="C16" s="1">
        <v>0.66</v>
      </c>
      <c r="D16" s="1">
        <v>0.21</v>
      </c>
      <c r="E16" s="1">
        <v>0.13</v>
      </c>
    </row>
    <row r="17" spans="1:5" x14ac:dyDescent="0.45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4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45">
      <c r="A19">
        <v>18</v>
      </c>
      <c r="B19" t="s">
        <v>4</v>
      </c>
      <c r="C19" s="1">
        <v>0.63</v>
      </c>
      <c r="D19" s="1">
        <v>0.23</v>
      </c>
      <c r="E19" s="1">
        <v>0.14000000000000001</v>
      </c>
    </row>
    <row r="20" spans="1:5" x14ac:dyDescent="0.45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45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45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4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45">
      <c r="A24">
        <v>23</v>
      </c>
      <c r="B24" t="s">
        <v>22</v>
      </c>
      <c r="C24" s="1">
        <v>0.67</v>
      </c>
      <c r="D24" s="1">
        <v>0.2</v>
      </c>
      <c r="E24" s="1">
        <v>0.13</v>
      </c>
    </row>
    <row r="25" spans="1:5" x14ac:dyDescent="0.45">
      <c r="A25">
        <v>24</v>
      </c>
      <c r="B25" t="s">
        <v>36</v>
      </c>
      <c r="C25" s="1">
        <v>0.68</v>
      </c>
      <c r="D25" s="1">
        <v>0.19</v>
      </c>
      <c r="E25" s="1">
        <v>0.13</v>
      </c>
    </row>
    <row r="26" spans="1:5" x14ac:dyDescent="0.45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45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45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4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4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45">
      <c r="A31">
        <v>30</v>
      </c>
      <c r="B31" t="s">
        <v>38</v>
      </c>
      <c r="C31" s="1">
        <v>0.65</v>
      </c>
      <c r="D31" s="1">
        <v>0.21</v>
      </c>
      <c r="E31" s="1">
        <v>0.14000000000000001</v>
      </c>
    </row>
    <row r="32" spans="1:5" x14ac:dyDescent="0.45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4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45">
      <c r="A34">
        <v>33</v>
      </c>
      <c r="B34" t="s">
        <v>37</v>
      </c>
      <c r="C34" s="1">
        <v>0.63</v>
      </c>
      <c r="D34" s="1">
        <v>0.21</v>
      </c>
      <c r="E34" s="1">
        <v>0.16</v>
      </c>
    </row>
    <row r="35" spans="1:5" x14ac:dyDescent="0.45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4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45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4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45">
      <c r="A39">
        <v>38</v>
      </c>
      <c r="B39" t="s">
        <v>41</v>
      </c>
      <c r="C39" s="1">
        <v>0.69</v>
      </c>
      <c r="D39" s="1">
        <v>0.17</v>
      </c>
      <c r="E39" s="1">
        <v>0.14000000000000001</v>
      </c>
    </row>
    <row r="40" spans="1:5" x14ac:dyDescent="0.4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45">
      <c r="A41">
        <v>40</v>
      </c>
      <c r="B41" t="s">
        <v>13</v>
      </c>
      <c r="C41" s="1">
        <v>0.63</v>
      </c>
      <c r="D41" s="1">
        <v>0.24</v>
      </c>
      <c r="E41" s="1">
        <v>0.13</v>
      </c>
    </row>
    <row r="42" spans="1:5" x14ac:dyDescent="0.45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4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45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45">
      <c r="A45">
        <v>44</v>
      </c>
      <c r="B45" t="s">
        <v>30</v>
      </c>
      <c r="C45" s="1">
        <v>0.69</v>
      </c>
      <c r="D45" s="1">
        <v>0.19</v>
      </c>
      <c r="E45" s="1">
        <v>0.12</v>
      </c>
    </row>
    <row r="46" spans="1:5" x14ac:dyDescent="0.45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45">
      <c r="A47">
        <v>46</v>
      </c>
      <c r="B47" t="s">
        <v>47</v>
      </c>
      <c r="C47" s="1">
        <v>0.68</v>
      </c>
      <c r="D47" s="1">
        <v>0.17</v>
      </c>
      <c r="E47" s="1">
        <v>0.15</v>
      </c>
    </row>
    <row r="48" spans="1:5" x14ac:dyDescent="0.45">
      <c r="A48">
        <v>47</v>
      </c>
      <c r="B48" t="s">
        <v>7</v>
      </c>
      <c r="C48" s="1">
        <v>0.63</v>
      </c>
      <c r="D48" s="1">
        <v>0.24</v>
      </c>
      <c r="E48" s="1">
        <v>0.13</v>
      </c>
    </row>
    <row r="49" spans="1:5" x14ac:dyDescent="0.45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45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45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4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50587AA3-244A-4CAB-B9DC-BD31D1D436C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A84C-092B-4456-954C-5FED7FEA4DE8}">
  <dimension ref="A1:AZ5"/>
  <sheetViews>
    <sheetView workbookViewId="0">
      <pane xSplit="1" ySplit="2" topLeftCell="P4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25" x14ac:dyDescent="0.45"/>
  <cols>
    <col min="1" max="1" width="9.06640625" customWidth="1"/>
  </cols>
  <sheetData>
    <row r="1" spans="1:52" x14ac:dyDescent="0.45">
      <c r="A1" t="s">
        <v>53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</row>
    <row r="2" spans="1:52" x14ac:dyDescent="0.45">
      <c r="A2" t="s">
        <v>0</v>
      </c>
      <c r="B2" t="s">
        <v>3</v>
      </c>
      <c r="C2" t="s">
        <v>49</v>
      </c>
      <c r="D2" t="s">
        <v>26</v>
      </c>
      <c r="E2" t="s">
        <v>19</v>
      </c>
      <c r="F2" t="s">
        <v>33</v>
      </c>
      <c r="G2" t="s">
        <v>40</v>
      </c>
      <c r="H2" t="s">
        <v>18</v>
      </c>
      <c r="I2" t="s">
        <v>10</v>
      </c>
      <c r="J2" t="s">
        <v>51</v>
      </c>
      <c r="K2" t="s">
        <v>23</v>
      </c>
      <c r="L2" t="s">
        <v>14</v>
      </c>
      <c r="M2" t="s">
        <v>50</v>
      </c>
      <c r="N2" t="s">
        <v>20</v>
      </c>
      <c r="O2" t="s">
        <v>11</v>
      </c>
      <c r="P2" t="s">
        <v>16</v>
      </c>
      <c r="Q2" t="s">
        <v>32</v>
      </c>
      <c r="R2" t="s">
        <v>24</v>
      </c>
      <c r="S2" t="s">
        <v>4</v>
      </c>
      <c r="T2" t="s">
        <v>27</v>
      </c>
      <c r="U2" t="s">
        <v>46</v>
      </c>
      <c r="V2" t="s">
        <v>25</v>
      </c>
      <c r="W2" t="s">
        <v>42</v>
      </c>
      <c r="X2" t="s">
        <v>22</v>
      </c>
      <c r="Y2" t="s">
        <v>36</v>
      </c>
      <c r="Z2" t="s">
        <v>28</v>
      </c>
      <c r="AA2" t="s">
        <v>21</v>
      </c>
      <c r="AB2" t="s">
        <v>48</v>
      </c>
      <c r="AC2" t="s">
        <v>35</v>
      </c>
      <c r="AD2" t="s">
        <v>15</v>
      </c>
      <c r="AE2" t="s">
        <v>38</v>
      </c>
      <c r="AF2" t="s">
        <v>31</v>
      </c>
      <c r="AG2" t="s">
        <v>39</v>
      </c>
      <c r="AH2" t="s">
        <v>37</v>
      </c>
      <c r="AI2" t="s">
        <v>2</v>
      </c>
      <c r="AJ2" t="s">
        <v>34</v>
      </c>
      <c r="AK2" t="s">
        <v>8</v>
      </c>
      <c r="AL2" t="s">
        <v>12</v>
      </c>
      <c r="AM2" t="s">
        <v>41</v>
      </c>
      <c r="AN2" t="s">
        <v>17</v>
      </c>
      <c r="AO2" t="s">
        <v>13</v>
      </c>
      <c r="AP2" t="s">
        <v>1</v>
      </c>
      <c r="AQ2" t="s">
        <v>44</v>
      </c>
      <c r="AR2" t="s">
        <v>5</v>
      </c>
      <c r="AS2" t="s">
        <v>30</v>
      </c>
      <c r="AT2" t="s">
        <v>6</v>
      </c>
      <c r="AU2" t="s">
        <v>47</v>
      </c>
      <c r="AV2" t="s">
        <v>7</v>
      </c>
      <c r="AW2" t="s">
        <v>43</v>
      </c>
      <c r="AX2" t="s">
        <v>9</v>
      </c>
      <c r="AY2" t="s">
        <v>29</v>
      </c>
      <c r="AZ2" t="s">
        <v>45</v>
      </c>
    </row>
    <row r="3" spans="1:52" x14ac:dyDescent="0.45">
      <c r="A3" t="s">
        <v>56</v>
      </c>
      <c r="B3" s="1">
        <v>0.65</v>
      </c>
      <c r="C3" s="1">
        <v>0.72</v>
      </c>
      <c r="D3" s="1">
        <v>0.67</v>
      </c>
      <c r="E3" s="1">
        <v>0.67</v>
      </c>
      <c r="F3" s="1">
        <v>0.65</v>
      </c>
      <c r="G3" s="1">
        <v>0.68</v>
      </c>
      <c r="H3" s="1">
        <v>0.64</v>
      </c>
      <c r="I3" s="1">
        <v>0.61</v>
      </c>
      <c r="J3" s="1">
        <v>0.66</v>
      </c>
      <c r="K3" s="1">
        <v>0.63</v>
      </c>
      <c r="L3" s="1">
        <v>0.63</v>
      </c>
      <c r="M3" s="1">
        <v>0.73</v>
      </c>
      <c r="N3" s="1">
        <v>0.67</v>
      </c>
      <c r="O3" s="1">
        <v>0.63</v>
      </c>
      <c r="P3" s="1">
        <v>0.66</v>
      </c>
      <c r="Q3" s="1">
        <v>0.67</v>
      </c>
      <c r="R3" s="1">
        <v>0.67</v>
      </c>
      <c r="S3" s="1">
        <v>0.63</v>
      </c>
      <c r="T3" s="1">
        <v>0.66</v>
      </c>
      <c r="U3" s="1">
        <v>0.7</v>
      </c>
      <c r="V3" s="1">
        <v>0.62</v>
      </c>
      <c r="W3" s="1">
        <v>0.62</v>
      </c>
      <c r="X3" s="1">
        <v>0.67</v>
      </c>
      <c r="Y3" s="1">
        <v>0.68</v>
      </c>
      <c r="Z3" s="1">
        <v>0.69</v>
      </c>
      <c r="AA3" s="1">
        <v>0.66</v>
      </c>
      <c r="AB3" s="1">
        <v>0.75</v>
      </c>
      <c r="AC3" s="1">
        <v>0.69</v>
      </c>
      <c r="AD3" s="1">
        <v>0.67</v>
      </c>
      <c r="AE3" s="1">
        <v>0.65</v>
      </c>
      <c r="AF3" s="1">
        <v>0.61</v>
      </c>
      <c r="AG3" s="1">
        <v>0.67</v>
      </c>
      <c r="AH3" s="1">
        <v>0.63</v>
      </c>
      <c r="AI3" s="1">
        <v>0.64</v>
      </c>
      <c r="AJ3" s="1">
        <v>0.7</v>
      </c>
      <c r="AK3" s="1">
        <v>0.63</v>
      </c>
      <c r="AL3" s="1">
        <v>0.69</v>
      </c>
      <c r="AM3" s="1">
        <v>0.69</v>
      </c>
      <c r="AN3" s="1">
        <v>0.62</v>
      </c>
      <c r="AO3" s="1">
        <v>0.63</v>
      </c>
      <c r="AP3" s="1">
        <v>0.65</v>
      </c>
      <c r="AQ3" s="1">
        <v>0.75</v>
      </c>
      <c r="AR3" s="1">
        <v>0.65</v>
      </c>
      <c r="AS3" s="1">
        <v>0.69</v>
      </c>
      <c r="AT3" s="1">
        <v>0.66</v>
      </c>
      <c r="AU3" s="1">
        <v>0.68</v>
      </c>
      <c r="AV3" s="1">
        <v>0.63</v>
      </c>
      <c r="AW3" s="1">
        <v>0.68</v>
      </c>
      <c r="AX3" s="1">
        <v>0.63</v>
      </c>
      <c r="AY3" s="1">
        <v>0.66</v>
      </c>
      <c r="AZ3" s="1">
        <v>0.71</v>
      </c>
    </row>
    <row r="4" spans="1:52" x14ac:dyDescent="0.45">
      <c r="A4" t="s">
        <v>57</v>
      </c>
      <c r="B4" s="1">
        <v>0.23</v>
      </c>
      <c r="C4" s="1">
        <v>0.15</v>
      </c>
      <c r="D4" s="1">
        <v>0.2</v>
      </c>
      <c r="E4" s="1">
        <v>0.21</v>
      </c>
      <c r="F4" s="1">
        <v>0.2</v>
      </c>
      <c r="G4" s="1">
        <v>0.18</v>
      </c>
      <c r="H4" s="1">
        <v>0.22</v>
      </c>
      <c r="I4" s="1">
        <v>0.25</v>
      </c>
      <c r="J4" s="1">
        <v>0.17</v>
      </c>
      <c r="K4" s="1">
        <v>0.23</v>
      </c>
      <c r="L4" s="1">
        <v>0.23</v>
      </c>
      <c r="M4" s="1">
        <v>0.14000000000000001</v>
      </c>
      <c r="N4" s="1">
        <v>0.2</v>
      </c>
      <c r="O4" s="1">
        <v>0.23</v>
      </c>
      <c r="P4" s="1">
        <v>0.21</v>
      </c>
      <c r="Q4" s="1">
        <v>0.2</v>
      </c>
      <c r="R4" s="1">
        <v>0.19</v>
      </c>
      <c r="S4" s="1">
        <v>0.23</v>
      </c>
      <c r="T4" s="1">
        <v>0.21</v>
      </c>
      <c r="U4" s="1">
        <v>0.17</v>
      </c>
      <c r="V4" s="1">
        <v>0.23</v>
      </c>
      <c r="W4" s="1">
        <v>0.21</v>
      </c>
      <c r="X4" s="1">
        <v>0.2</v>
      </c>
      <c r="Y4" s="1">
        <v>0.19</v>
      </c>
      <c r="Z4" s="1">
        <v>0.2</v>
      </c>
      <c r="AA4" s="1">
        <v>0.2</v>
      </c>
      <c r="AB4" s="1">
        <v>0.14000000000000001</v>
      </c>
      <c r="AC4" s="1">
        <v>0.18</v>
      </c>
      <c r="AD4" s="1">
        <v>0.2</v>
      </c>
      <c r="AE4" s="1">
        <v>0.21</v>
      </c>
      <c r="AF4" s="1">
        <v>0.23</v>
      </c>
      <c r="AG4" s="1">
        <v>0.19</v>
      </c>
      <c r="AH4" s="1">
        <v>0.21</v>
      </c>
      <c r="AI4" s="1">
        <v>0.23</v>
      </c>
      <c r="AJ4" s="1">
        <v>0.18</v>
      </c>
      <c r="AK4" s="1">
        <v>0.23</v>
      </c>
      <c r="AL4" s="1">
        <v>0.19</v>
      </c>
      <c r="AM4" s="1">
        <v>0.17</v>
      </c>
      <c r="AN4" s="1">
        <v>0.23</v>
      </c>
      <c r="AO4" s="1">
        <v>0.24</v>
      </c>
      <c r="AP4" s="1">
        <v>0.23</v>
      </c>
      <c r="AQ4" s="1">
        <v>0.14000000000000001</v>
      </c>
      <c r="AR4" s="1">
        <v>0.22</v>
      </c>
      <c r="AS4" s="1">
        <v>0.19</v>
      </c>
      <c r="AT4" s="1">
        <v>0.21</v>
      </c>
      <c r="AU4" s="1">
        <v>0.17</v>
      </c>
      <c r="AV4" s="1">
        <v>0.24</v>
      </c>
      <c r="AW4" s="1">
        <v>0.18</v>
      </c>
      <c r="AX4" s="1">
        <v>0.24</v>
      </c>
      <c r="AY4" s="1">
        <v>0.2</v>
      </c>
      <c r="AZ4" s="1">
        <v>0.16</v>
      </c>
    </row>
    <row r="5" spans="1:52" x14ac:dyDescent="0.45">
      <c r="A5" t="s">
        <v>58</v>
      </c>
      <c r="B5" s="1">
        <v>0.12</v>
      </c>
      <c r="C5" s="1">
        <v>0.13</v>
      </c>
      <c r="D5" s="1">
        <v>0.13</v>
      </c>
      <c r="E5" s="1">
        <v>0.12</v>
      </c>
      <c r="F5" s="1">
        <v>0.15</v>
      </c>
      <c r="G5" s="1">
        <v>0.14000000000000001</v>
      </c>
      <c r="H5" s="1">
        <v>0.14000000000000001</v>
      </c>
      <c r="I5" s="1">
        <v>0.14000000000000001</v>
      </c>
      <c r="J5" s="1">
        <v>0.17</v>
      </c>
      <c r="K5" s="1">
        <v>0.14000000000000001</v>
      </c>
      <c r="L5" s="1">
        <v>0.14000000000000001</v>
      </c>
      <c r="M5" s="1">
        <v>0.13</v>
      </c>
      <c r="N5" s="1">
        <v>0.13</v>
      </c>
      <c r="O5" s="1">
        <v>0.14000000000000001</v>
      </c>
      <c r="P5" s="1">
        <v>0.13</v>
      </c>
      <c r="Q5" s="1">
        <v>0.13</v>
      </c>
      <c r="R5" s="1">
        <v>0.14000000000000001</v>
      </c>
      <c r="S5" s="1">
        <v>0.14000000000000001</v>
      </c>
      <c r="T5" s="1">
        <v>0.13</v>
      </c>
      <c r="U5" s="1">
        <v>0.13</v>
      </c>
      <c r="V5" s="1">
        <v>0.15</v>
      </c>
      <c r="W5" s="1">
        <v>0.17</v>
      </c>
      <c r="X5" s="1">
        <v>0.13</v>
      </c>
      <c r="Y5" s="1">
        <v>0.13</v>
      </c>
      <c r="Z5" s="1">
        <v>0.11</v>
      </c>
      <c r="AA5" s="1">
        <v>0.14000000000000001</v>
      </c>
      <c r="AB5" s="1">
        <v>0.11</v>
      </c>
      <c r="AC5" s="1">
        <v>0.13</v>
      </c>
      <c r="AD5" s="1">
        <v>0.13</v>
      </c>
      <c r="AE5" s="1">
        <v>0.14000000000000001</v>
      </c>
      <c r="AF5" s="1">
        <v>0.16</v>
      </c>
      <c r="AG5" s="1">
        <v>0.14000000000000001</v>
      </c>
      <c r="AH5" s="1">
        <v>0.16</v>
      </c>
      <c r="AI5" s="1">
        <v>0.13</v>
      </c>
      <c r="AJ5" s="1">
        <v>0.12</v>
      </c>
      <c r="AK5" s="1">
        <v>0.14000000000000001</v>
      </c>
      <c r="AL5" s="1">
        <v>0.12</v>
      </c>
      <c r="AM5" s="1">
        <v>0.14000000000000001</v>
      </c>
      <c r="AN5" s="1">
        <v>0.15</v>
      </c>
      <c r="AO5" s="1">
        <v>0.13</v>
      </c>
      <c r="AP5" s="1">
        <v>0.12</v>
      </c>
      <c r="AQ5" s="1">
        <v>0.11</v>
      </c>
      <c r="AR5" s="1">
        <v>0.13</v>
      </c>
      <c r="AS5" s="1">
        <v>0.12</v>
      </c>
      <c r="AT5" s="1">
        <v>0.13</v>
      </c>
      <c r="AU5" s="1">
        <v>0.15</v>
      </c>
      <c r="AV5" s="1">
        <v>0.13</v>
      </c>
      <c r="AW5" s="1">
        <v>0.14000000000000001</v>
      </c>
      <c r="AX5" s="1">
        <v>0.13</v>
      </c>
      <c r="AY5" s="1">
        <v>0.14000000000000001</v>
      </c>
      <c r="AZ5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0E02-4B26-4439-BD90-81DAB86C139A}">
  <dimension ref="A1:G36"/>
  <sheetViews>
    <sheetView tabSelected="1" topLeftCell="A8" workbookViewId="0">
      <selection activeCell="M12" sqref="M12"/>
    </sheetView>
  </sheetViews>
  <sheetFormatPr defaultRowHeight="14.25" x14ac:dyDescent="0.45"/>
  <cols>
    <col min="1" max="1" width="11.9296875" bestFit="1" customWidth="1"/>
    <col min="2" max="2" width="15.59765625" bestFit="1" customWidth="1"/>
    <col min="3" max="3" width="15.06640625" style="5" bestFit="1" customWidth="1"/>
    <col min="4" max="4" width="9.06640625" style="5"/>
  </cols>
  <sheetData>
    <row r="1" spans="1:7" x14ac:dyDescent="0.45">
      <c r="A1" t="s">
        <v>61</v>
      </c>
      <c r="B1" t="s">
        <v>62</v>
      </c>
      <c r="C1" s="5" t="s">
        <v>56</v>
      </c>
      <c r="D1" s="5" t="s">
        <v>65</v>
      </c>
    </row>
    <row r="2" spans="1:7" x14ac:dyDescent="0.45">
      <c r="A2" t="s">
        <v>43</v>
      </c>
      <c r="B2" t="s">
        <v>63</v>
      </c>
      <c r="C2" s="5">
        <f>VLOOKUP('sales region lookup'!A2, 'by search term'!B:C, 2, FALSE)</f>
        <v>0.68</v>
      </c>
      <c r="D2" s="5">
        <f>_xlfn.XLOOKUP(A2,'by search term'!B$2:B$52,'by search term'!D$2:D$52,"not found")</f>
        <v>0.18</v>
      </c>
    </row>
    <row r="3" spans="1:7" x14ac:dyDescent="0.45">
      <c r="A3" t="s">
        <v>41</v>
      </c>
      <c r="B3" t="s">
        <v>63</v>
      </c>
      <c r="C3" s="5">
        <f>VLOOKUP('sales region lookup'!A3, 'by search term'!B:C, 2, FALSE)</f>
        <v>0.69</v>
      </c>
      <c r="D3" s="5">
        <f>_xlfn.XLOOKUP(A3,'by search term'!B$2:B$52,'by search term'!D$2:D$52,"not found")</f>
        <v>0.17</v>
      </c>
    </row>
    <row r="4" spans="1:7" x14ac:dyDescent="0.45">
      <c r="A4" t="s">
        <v>59</v>
      </c>
      <c r="B4" t="s">
        <v>63</v>
      </c>
      <c r="C4" s="5">
        <f>VLOOKUP(TRIM('sales region lookup'!A4), 'by search term'!B:C, 2, FALSE)</f>
        <v>0.67</v>
      </c>
      <c r="D4" s="5" cm="1">
        <f t="array" ref="D4">_xlfn.XLOOKUP(TRIM(A4),TRIM('by search term'!B$2:B$52),'by search term'!D$2:D$52,"not found")</f>
        <v>0.2</v>
      </c>
    </row>
    <row r="5" spans="1:7" x14ac:dyDescent="0.45">
      <c r="A5" t="s">
        <v>60</v>
      </c>
      <c r="B5" t="s">
        <v>63</v>
      </c>
      <c r="C5" s="5">
        <f>VLOOKUP(TRIM('sales region lookup'!A5), 'by search term'!B:C, 2, FALSE)</f>
        <v>0.75</v>
      </c>
      <c r="D5" s="5" cm="1">
        <f t="array" ref="D5">_xlfn.XLOOKUP(TRIM(A5),TRIM('by search term'!B$2:B$52),'by search term'!D$2:D$52,"not found")</f>
        <v>0.14000000000000001</v>
      </c>
    </row>
    <row r="6" spans="1:7" x14ac:dyDescent="0.45">
      <c r="A6" t="s">
        <v>34</v>
      </c>
      <c r="B6" t="s">
        <v>64</v>
      </c>
      <c r="C6" s="5">
        <f>VLOOKUP('sales region lookup'!A6, 'by search term'!B:C, 2, FALSE)</f>
        <v>0.7</v>
      </c>
      <c r="D6" s="5">
        <f>_xlfn.XLOOKUP(A6,'by search term'!B$2:B$52,'by search term'!D$2:D$52,"not found")</f>
        <v>0.18</v>
      </c>
      <c r="G6" s="4"/>
    </row>
    <row r="7" spans="1:7" x14ac:dyDescent="0.45">
      <c r="A7" t="s">
        <v>44</v>
      </c>
      <c r="B7" t="s">
        <v>64</v>
      </c>
      <c r="C7" s="5">
        <f>VLOOKUP('sales region lookup'!A7, 'by search term'!B:C, 2, FALSE)</f>
        <v>0.75</v>
      </c>
      <c r="D7" s="5">
        <f>_xlfn.XLOOKUP(A7,'by search term'!B$2:B$52,'by search term'!D$2:D$52,"not found")</f>
        <v>0.14000000000000001</v>
      </c>
    </row>
    <row r="8" spans="1:7" x14ac:dyDescent="0.45">
      <c r="A8" t="s">
        <v>35</v>
      </c>
      <c r="B8" t="s">
        <v>64</v>
      </c>
      <c r="C8" s="5">
        <f>VLOOKUP('sales region lookup'!A8, 'by search term'!B:C, 2, FALSE)</f>
        <v>0.69</v>
      </c>
      <c r="D8" s="5">
        <f>_xlfn.XLOOKUP(A8,'by search term'!B$2:B$52,'by search term'!D$2:D$52,"not found")</f>
        <v>0.18</v>
      </c>
    </row>
    <row r="9" spans="1:7" x14ac:dyDescent="0.45">
      <c r="A9" t="s">
        <v>36</v>
      </c>
      <c r="B9" t="s">
        <v>64</v>
      </c>
      <c r="C9" s="5">
        <f>VLOOKUP('sales region lookup'!A9, 'by search term'!B:C, 2, FALSE)</f>
        <v>0.68</v>
      </c>
      <c r="D9" s="5">
        <f>_xlfn.XLOOKUP(A9,'by search term'!B$2:B$52,'by search term'!D$2:D$52,"not found")</f>
        <v>0.19</v>
      </c>
    </row>
    <row r="10" spans="1:7" x14ac:dyDescent="0.45">
      <c r="A10" t="s">
        <v>29</v>
      </c>
      <c r="B10" t="s">
        <v>64</v>
      </c>
      <c r="C10" s="5">
        <f>VLOOKUP('sales region lookup'!A10, 'by search term'!B:C, 2, FALSE)</f>
        <v>0.66</v>
      </c>
      <c r="D10" s="5">
        <f>_xlfn.XLOOKUP(A10,'by search term'!B$2:B$52,'by search term'!D$2:D$52,"not found")</f>
        <v>0.2</v>
      </c>
    </row>
    <row r="11" spans="1:7" x14ac:dyDescent="0.45">
      <c r="A11" t="s">
        <v>22</v>
      </c>
      <c r="B11" t="s">
        <v>64</v>
      </c>
      <c r="C11" s="5">
        <f>VLOOKUP('sales region lookup'!A11, 'by search term'!B:C, 2, FALSE)</f>
        <v>0.67</v>
      </c>
      <c r="D11" s="5">
        <f>_xlfn.XLOOKUP(A11,'by search term'!B$2:B$52,'by search term'!D$2:D$52,"not found")</f>
        <v>0.2</v>
      </c>
    </row>
    <row r="13" spans="1:7" x14ac:dyDescent="0.45">
      <c r="A13" s="6" t="s">
        <v>62</v>
      </c>
      <c r="B13" t="s">
        <v>70</v>
      </c>
    </row>
    <row r="15" spans="1:7" x14ac:dyDescent="0.45">
      <c r="A15" s="6" t="s">
        <v>66</v>
      </c>
      <c r="B15" t="s">
        <v>68</v>
      </c>
      <c r="C15" t="s">
        <v>69</v>
      </c>
    </row>
    <row r="16" spans="1:7" x14ac:dyDescent="0.45">
      <c r="A16" s="7" t="s">
        <v>59</v>
      </c>
      <c r="B16" s="1">
        <v>0.67</v>
      </c>
      <c r="C16" s="1">
        <v>0.2</v>
      </c>
    </row>
    <row r="17" spans="1:3" x14ac:dyDescent="0.45">
      <c r="A17" s="7" t="s">
        <v>22</v>
      </c>
      <c r="B17" s="1">
        <v>0.67</v>
      </c>
      <c r="C17" s="1">
        <v>0.2</v>
      </c>
    </row>
    <row r="18" spans="1:3" x14ac:dyDescent="0.45">
      <c r="A18" s="7" t="s">
        <v>36</v>
      </c>
      <c r="B18" s="1">
        <v>0.68</v>
      </c>
      <c r="C18" s="1">
        <v>0.19</v>
      </c>
    </row>
    <row r="19" spans="1:3" x14ac:dyDescent="0.45">
      <c r="A19" s="7" t="s">
        <v>60</v>
      </c>
      <c r="B19" s="1">
        <v>0.75</v>
      </c>
      <c r="C19" s="1">
        <v>0.14000000000000001</v>
      </c>
    </row>
    <row r="20" spans="1:3" x14ac:dyDescent="0.45">
      <c r="A20" s="7" t="s">
        <v>35</v>
      </c>
      <c r="B20" s="1">
        <v>0.69</v>
      </c>
      <c r="C20" s="1">
        <v>0.18</v>
      </c>
    </row>
    <row r="21" spans="1:3" x14ac:dyDescent="0.45">
      <c r="A21" s="7" t="s">
        <v>34</v>
      </c>
      <c r="B21" s="1">
        <v>0.7</v>
      </c>
      <c r="C21" s="1">
        <v>0.18</v>
      </c>
    </row>
    <row r="22" spans="1:3" x14ac:dyDescent="0.45">
      <c r="A22" s="7" t="s">
        <v>41</v>
      </c>
      <c r="B22" s="1">
        <v>0.69</v>
      </c>
      <c r="C22" s="1">
        <v>0.17</v>
      </c>
    </row>
    <row r="23" spans="1:3" x14ac:dyDescent="0.45">
      <c r="A23" s="7" t="s">
        <v>44</v>
      </c>
      <c r="B23" s="1">
        <v>0.75</v>
      </c>
      <c r="C23" s="1">
        <v>0.14000000000000001</v>
      </c>
    </row>
    <row r="24" spans="1:3" x14ac:dyDescent="0.45">
      <c r="A24" s="7" t="s">
        <v>43</v>
      </c>
      <c r="B24" s="1">
        <v>0.68</v>
      </c>
      <c r="C24" s="1">
        <v>0.18</v>
      </c>
    </row>
    <row r="25" spans="1:3" x14ac:dyDescent="0.45">
      <c r="A25" s="7" t="s">
        <v>29</v>
      </c>
      <c r="B25" s="1">
        <v>0.66</v>
      </c>
      <c r="C25" s="1">
        <v>0.2</v>
      </c>
    </row>
    <row r="26" spans="1:3" x14ac:dyDescent="0.45">
      <c r="A26" s="7" t="s">
        <v>67</v>
      </c>
      <c r="B26" s="1">
        <v>6.9399999999999995</v>
      </c>
      <c r="C26" s="1">
        <v>1.7799999999999998</v>
      </c>
    </row>
    <row r="27" spans="1:3" x14ac:dyDescent="0.45">
      <c r="C27"/>
    </row>
    <row r="28" spans="1:3" x14ac:dyDescent="0.45">
      <c r="C28"/>
    </row>
    <row r="29" spans="1:3" x14ac:dyDescent="0.45">
      <c r="C29"/>
    </row>
    <row r="30" spans="1:3" x14ac:dyDescent="0.45">
      <c r="C30"/>
    </row>
    <row r="31" spans="1:3" x14ac:dyDescent="0.45">
      <c r="C31"/>
    </row>
    <row r="32" spans="1:3" x14ac:dyDescent="0.45">
      <c r="C32"/>
    </row>
    <row r="33" spans="3:3" x14ac:dyDescent="0.45">
      <c r="C33"/>
    </row>
    <row r="34" spans="3:3" x14ac:dyDescent="0.45">
      <c r="C34"/>
    </row>
    <row r="35" spans="3:3" x14ac:dyDescent="0.45">
      <c r="C35"/>
    </row>
    <row r="36" spans="3:3" x14ac:dyDescent="0.45">
      <c r="C36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 </dc:creator>
  <cp:lastModifiedBy>Jennifer Saeteros</cp:lastModifiedBy>
  <dcterms:created xsi:type="dcterms:W3CDTF">2026-04-07T21:32:28Z</dcterms:created>
  <dcterms:modified xsi:type="dcterms:W3CDTF">2026-10-17T17:59:48Z</dcterms:modified>
</cp:coreProperties>
</file>